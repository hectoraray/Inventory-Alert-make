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" sheetId="1" state="visible" r:id="rId3"/>
    <sheet name="how_to_us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<sst xmlns="http://schemas.openxmlformats.org/spreadsheetml/2006/main" count="122" uniqueCount="90">
  <si>
    <t xml:space="preserve">sku</t>
  </si>
  <si>
    <t xml:space="preserve">product_name</t>
  </si>
  <si>
    <t xml:space="preserve">category</t>
  </si>
  <si>
    <t xml:space="preserve">stock</t>
  </si>
  <si>
    <t xml:space="preserve">reorder_point</t>
  </si>
  <si>
    <t xml:space="preserve">supplier</t>
  </si>
  <si>
    <t xml:space="preserve">last_alert_status</t>
  </si>
  <si>
    <t xml:space="preserve">stock_num</t>
  </si>
  <si>
    <t xml:space="preserve">reorder_num</t>
  </si>
  <si>
    <t xml:space="preserve">status</t>
  </si>
  <si>
    <t xml:space="preserve">issue</t>
  </si>
  <si>
    <t xml:space="preserve">severity</t>
  </si>
  <si>
    <t xml:space="preserve">previous_status</t>
  </si>
  <si>
    <t xml:space="preserve">previous_severity</t>
  </si>
  <si>
    <t xml:space="preserve">should_notify</t>
  </si>
  <si>
    <t xml:space="preserve">needs_update</t>
  </si>
  <si>
    <t xml:space="preserve">sort_priority</t>
  </si>
  <si>
    <t xml:space="preserve">alert_line</t>
  </si>
  <si>
    <t xml:space="preserve">SKU-001</t>
  </si>
  <si>
    <t xml:space="preserve">Cotton T-Shirt</t>
  </si>
  <si>
    <t xml:space="preserve">Apparel</t>
  </si>
  <si>
    <t xml:space="preserve">Textiles Norte</t>
  </si>
  <si>
    <t xml:space="preserve">SKU-002</t>
  </si>
  <si>
    <t xml:space="preserve">Denim Jeans</t>
  </si>
  <si>
    <t xml:space="preserve">SKU-003</t>
  </si>
  <si>
    <t xml:space="preserve">Hooded Sweatshirt</t>
  </si>
  <si>
    <t xml:space="preserve">LOW</t>
  </si>
  <si>
    <t xml:space="preserve">SKU-004</t>
  </si>
  <si>
    <t xml:space="preserve">Summer Dress</t>
  </si>
  <si>
    <t xml:space="preserve">Moda Sur</t>
  </si>
  <si>
    <t xml:space="preserve">SKU-005</t>
  </si>
  <si>
    <t xml:space="preserve">Leather Belt</t>
  </si>
  <si>
    <t xml:space="preserve">Accessories</t>
  </si>
  <si>
    <t xml:space="preserve">Cuero Andino</t>
  </si>
  <si>
    <t xml:space="preserve">SKU-006</t>
  </si>
  <si>
    <t xml:space="preserve">Canvas Backpack</t>
  </si>
  <si>
    <t xml:space="preserve">CRITICAL</t>
  </si>
  <si>
    <t xml:space="preserve">SKU-007</t>
  </si>
  <si>
    <t xml:space="preserve">Sunglasses</t>
  </si>
  <si>
    <t xml:space="preserve">Optica Central</t>
  </si>
  <si>
    <t xml:space="preserve">SKU-008</t>
  </si>
  <si>
    <t xml:space="preserve">Wool Scarf</t>
  </si>
  <si>
    <t xml:space="preserve">SKU-009</t>
  </si>
  <si>
    <t xml:space="preserve">Running Shoes</t>
  </si>
  <si>
    <t xml:space="preserve">Footwear</t>
  </si>
  <si>
    <t xml:space="preserve">Calzado Oriente</t>
  </si>
  <si>
    <t xml:space="preserve">SKU-010</t>
  </si>
  <si>
    <t xml:space="preserve">Leather Boots</t>
  </si>
  <si>
    <t xml:space="preserve">SKU-011</t>
  </si>
  <si>
    <t xml:space="preserve">Sandals</t>
  </si>
  <si>
    <t xml:space="preserve">SKU-012</t>
  </si>
  <si>
    <t xml:space="preserve">Sneakers</t>
  </si>
  <si>
    <t xml:space="preserve">SKU-013</t>
  </si>
  <si>
    <t xml:space="preserve">Cotton Socks (3-pack)</t>
  </si>
  <si>
    <t xml:space="preserve">Basics</t>
  </si>
  <si>
    <t xml:space="preserve">SKU-014</t>
  </si>
  <si>
    <t xml:space="preserve">Underwear (5-pack)</t>
  </si>
  <si>
    <t xml:space="preserve">SKU-015</t>
  </si>
  <si>
    <t xml:space="preserve">Pajama Set</t>
  </si>
  <si>
    <t xml:space="preserve">SKU-016</t>
  </si>
  <si>
    <t xml:space="preserve">Yoga Mat</t>
  </si>
  <si>
    <t xml:space="preserve">Sports</t>
  </si>
  <si>
    <t xml:space="preserve">Deportes Vital</t>
  </si>
  <si>
    <t xml:space="preserve">SKU-017</t>
  </si>
  <si>
    <t xml:space="preserve">Water Bottle</t>
  </si>
  <si>
    <t xml:space="preserve">SKU-018</t>
  </si>
  <si>
    <t xml:space="preserve">Gym Gloves</t>
  </si>
  <si>
    <t xml:space="preserve">SKU-019</t>
  </si>
  <si>
    <t xml:space="preserve">Resistance Bands</t>
  </si>
  <si>
    <t xml:space="preserve">n/a</t>
  </si>
  <si>
    <t xml:space="preserve">SKU-020</t>
  </si>
  <si>
    <t xml:space="preserve">Beach Towel</t>
  </si>
  <si>
    <t xml:space="preserve">Home</t>
  </si>
  <si>
    <t xml:space="preserve">Hogar Plus</t>
  </si>
  <si>
    <t xml:space="preserve">SKU-021</t>
  </si>
  <si>
    <t xml:space="preserve">Throw Blanket</t>
  </si>
  <si>
    <t xml:space="preserve">OK</t>
  </si>
  <si>
    <t xml:space="preserve">SKU-022</t>
  </si>
  <si>
    <t xml:space="preserve">Scented Candle</t>
  </si>
  <si>
    <t xml:space="preserve">Inventory alerts: how this sheet works</t>
  </si>
  <si>
    <t xml:space="preserve">Blue columns (A-G) are data. Grey columns (H-R) are formulas: do not edit them.</t>
  </si>
  <si>
    <t xml:space="preserve">Make writes ONLY column G (last_alert_status), always with the value of the status column.</t>
  </si>
  <si>
    <t xml:space="preserve">Leave G empty when you start; empty and OK mean the same thing.</t>
  </si>
  <si>
    <t xml:space="preserve">status: OUT = stock 0 | CRITICAL = stock &lt;= 50% of reorder_point | LOW = stock &lt;= reorder_point</t>
  </si>
  <si>
    <t xml:space="preserve">        OK = above reorder_point | DATA_ERROR = stock/reorder_point blank, text or invalid</t>
  </si>
  <si>
    <t xml:space="preserve">should_notify = 1 only when severity got WORSE than last_alert_status (or a new data error).</t>
  </si>
  <si>
    <t xml:space="preserve">needs_update = 1 when last_alert_status must be rewritten (includes silent recoveries).</t>
  </si>
  <si>
    <t xml:space="preserve">alert_line is the ready-made text line Make sends to Telegram.</t>
  </si>
  <si>
    <t xml:space="preserve">Keep the first sheet named: inventory</t>
  </si>
  <si>
    <t xml:space="preserve">Keep the header names exactly as they are: the Make scenario refers to them.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</si>
</sst>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7F7F7F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F8CBAD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D9D9D9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7"/>
    <col collapsed="false" customWidth="true" hidden="false" outlineLevel="0" max="7" min="7" style="0" width="18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1" min="11" style="0" width="28"/>
    <col collapsed="false" customWidth="true" hidden="false" outlineLevel="0" max="12" min="12" style="0" width="9"/>
    <col collapsed="false" customWidth="true" hidden="false" outlineLevel="0" max="13" min="13" style="0" width="16"/>
    <col collapsed="false" customWidth="true" hidden="false" outlineLevel="0" max="14" min="14" style="0" width="17"/>
    <col collapsed="false" customWidth="true" hidden="false" outlineLevel="0" max="17" min="15" style="0" width="13"/>
    <col collapsed="false" customWidth="true" hidden="false" outlineLevel="0" max="18" min="18" style="0" width="7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15" hidden="false" customHeight="false" outlineLevel="0" collapsed="false">
      <c r="A2" s="3" t="s">
        <v>18</v>
      </c>
      <c r="B2" s="3" t="s">
        <v>19</v>
      </c>
      <c r="C2" s="3" t="s">
        <v>20</v>
      </c>
      <c r="D2" s="3" t="n">
        <v>120</v>
      </c>
      <c r="E2" s="3" t="n">
        <v>40</v>
      </c>
      <c r="F2" s="3" t="s">
        <v>21</v>
      </c>
      <c r="G2" s="3"/>
      <c r="H2" s="4" t="n">
        <f aca="false">IFERROR(VALUE(TRIM(D2&amp;"")),"")</f>
        <v>120</v>
      </c>
      <c r="I2" s="4" t="n">
        <f aca="false">IFERROR(VALUE(TRIM(E2&amp;"")),"")</f>
        <v>40</v>
      </c>
      <c r="J2" s="5" t="str">
        <f aca="false">IF(OR(H2="",H2&lt;0),"DATA_ERROR",IF(OR(I2="",I2&lt;=0),"DATA_ERROR",IF(H2=0,"OUT",IF(H2&lt;=I2*0.5,"CRITICAL",IF(H2&lt;=I2,"LOW","OK")))))</f>
        <v>OK</v>
      </c>
      <c r="K2" s="4" t="str">
        <f aca="false">IF(J2&lt;&gt;"DATA_ERROR","",IF(OR(H2="",H2&lt;0),"invalid stock: '"&amp;D2&amp;"'","invalid reorder_point: '"&amp;E2&amp;"'"))</f>
        <v/>
      </c>
      <c r="L2" s="4" t="n">
        <f aca="false">IF(J2="OUT",3,IF(J2="CRITICAL",2,IF(J2="LOW",1,0)))</f>
        <v>0</v>
      </c>
      <c r="M2" s="4" t="str">
        <f aca="false">IF(TRIM(G2&amp;"")="","OK",UPPER(TRIM(G2)))</f>
        <v>OK</v>
      </c>
      <c r="N2" s="4" t="n">
        <f aca="false">IF(M2="OUT",3,IF(M2="CRITICAL",2,IF(M2="LOW",1,0)))</f>
        <v>0</v>
      </c>
      <c r="O2" s="4" t="n">
        <f aca="false">IF(OR(L2&gt;N2,AND(J2="DATA_ERROR",M2&lt;&gt;"DATA_ERROR")),1,0)</f>
        <v>0</v>
      </c>
      <c r="P2" s="4" t="n">
        <f aca="false">IF(J2&lt;&gt;M2,1,0)</f>
        <v>0</v>
      </c>
      <c r="Q2" s="4" t="n">
        <f aca="false">IF(J2="OUT",4,IF(J2="CRITICAL",3,IF(J2="LOW",2,IF(J2="DATA_ERROR",1,0))))</f>
        <v>0</v>
      </c>
      <c r="R2" s="4" t="str">
        <f aca="false">IF(J2="OK","",IF(J2="DATA_ERROR","⚠️ "&amp;A2&amp;" "&amp;B2&amp;" — "&amp;K2,IF(J2="OUT","🔴",IF(J2="CRITICAL","🟠","🟡"))&amp;" "&amp;J2&amp;": "&amp;A2&amp;" "&amp;B2&amp;" — stock "&amp;H2&amp;" (reorder at "&amp;I2&amp;") · "&amp;F2))</f>
        <v/>
      </c>
    </row>
    <row r="3" customFormat="false" ht="15" hidden="false" customHeight="false" outlineLevel="0" collapsed="false">
      <c r="A3" s="3" t="s">
        <v>22</v>
      </c>
      <c r="B3" s="3" t="s">
        <v>23</v>
      </c>
      <c r="C3" s="3" t="s">
        <v>20</v>
      </c>
      <c r="D3" s="3" t="n">
        <v>34</v>
      </c>
      <c r="E3" s="3" t="n">
        <v>30</v>
      </c>
      <c r="F3" s="3" t="s">
        <v>21</v>
      </c>
      <c r="G3" s="3"/>
      <c r="H3" s="4" t="n">
        <f aca="false">IFERROR(VALUE(TRIM(D3&amp;"")),"")</f>
        <v>34</v>
      </c>
      <c r="I3" s="4" t="n">
        <f aca="false">IFERROR(VALUE(TRIM(E3&amp;"")),"")</f>
        <v>30</v>
      </c>
      <c r="J3" s="5" t="str">
        <f aca="false">IF(OR(H3="",H3&lt;0),"DATA_ERROR",IF(OR(I3="",I3&lt;=0),"DATA_ERROR",IF(H3=0,"OUT",IF(H3&lt;=I3*0.5,"CRITICAL",IF(H3&lt;=I3,"LOW","OK")))))</f>
        <v>OK</v>
      </c>
      <c r="K3" s="4" t="str">
        <f aca="false">IF(J3&lt;&gt;"DATA_ERROR","",IF(OR(H3="",H3&lt;0),"invalid stock: '"&amp;D3&amp;"'","invalid reorder_point: '"&amp;E3&amp;"'"))</f>
        <v/>
      </c>
      <c r="L3" s="4" t="n">
        <f aca="false">IF(J3="OUT",3,IF(J3="CRITICAL",2,IF(J3="LOW",1,0)))</f>
        <v>0</v>
      </c>
      <c r="M3" s="4" t="str">
        <f aca="false">IF(TRIM(G3&amp;"")="","OK",UPPER(TRIM(G3)))</f>
        <v>OK</v>
      </c>
      <c r="N3" s="4" t="n">
        <f aca="false">IF(M3="OUT",3,IF(M3="CRITICAL",2,IF(M3="LOW",1,0)))</f>
        <v>0</v>
      </c>
      <c r="O3" s="4" t="n">
        <f aca="false">IF(OR(L3&gt;N3,AND(J3="DATA_ERROR",M3&lt;&gt;"DATA_ERROR")),1,0)</f>
        <v>0</v>
      </c>
      <c r="P3" s="4" t="n">
        <f aca="false">IF(J3&lt;&gt;M3,1,0)</f>
        <v>0</v>
      </c>
      <c r="Q3" s="4" t="n">
        <f aca="false">IF(J3="OUT",4,IF(J3="CRITICAL",3,IF(J3="LOW",2,IF(J3="DATA_ERROR",1,0))))</f>
        <v>0</v>
      </c>
      <c r="R3" s="4" t="str">
        <f aca="false">IF(J3="OK","",IF(J3="DATA_ERROR","⚠️ "&amp;A3&amp;" "&amp;B3&amp;" — "&amp;K3,IF(J3="OUT","🔴",IF(J3="CRITICAL","🟠","🟡"))&amp;" "&amp;J3&amp;": "&amp;A3&amp;" "&amp;B3&amp;" — stock "&amp;H3&amp;" (reorder at "&amp;I3&amp;") · "&amp;F3))</f>
        <v/>
      </c>
    </row>
    <row r="4" customFormat="false" ht="15" hidden="false" customHeight="false" outlineLevel="0" collapsed="false">
      <c r="A4" s="3" t="s">
        <v>24</v>
      </c>
      <c r="B4" s="3" t="s">
        <v>25</v>
      </c>
      <c r="C4" s="3" t="s">
        <v>20</v>
      </c>
      <c r="D4" s="3" t="n">
        <v>22</v>
      </c>
      <c r="E4" s="3" t="n">
        <v>30</v>
      </c>
      <c r="F4" s="3" t="s">
        <v>21</v>
      </c>
      <c r="G4" s="3" t="s">
        <v>26</v>
      </c>
      <c r="H4" s="4" t="n">
        <f aca="false">IFERROR(VALUE(TRIM(D4&amp;"")),"")</f>
        <v>22</v>
      </c>
      <c r="I4" s="4" t="n">
        <f aca="false">IFERROR(VALUE(TRIM(E4&amp;"")),"")</f>
        <v>30</v>
      </c>
      <c r="J4" s="5" t="str">
        <f aca="false">IF(OR(H4="",H4&lt;0),"DATA_ERROR",IF(OR(I4="",I4&lt;=0),"DATA_ERROR",IF(H4=0,"OUT",IF(H4&lt;=I4*0.5,"CRITICAL",IF(H4&lt;=I4,"LOW","OK")))))</f>
        <v>LOW</v>
      </c>
      <c r="K4" s="4" t="str">
        <f aca="false">IF(J4&lt;&gt;"DATA_ERROR","",IF(OR(H4="",H4&lt;0),"invalid stock: '"&amp;D4&amp;"'","invalid reorder_point: '"&amp;E4&amp;"'"))</f>
        <v/>
      </c>
      <c r="L4" s="4" t="n">
        <f aca="false">IF(J4="OUT",3,IF(J4="CRITICAL",2,IF(J4="LOW",1,0)))</f>
        <v>1</v>
      </c>
      <c r="M4" s="4" t="str">
        <f aca="false">IF(TRIM(G4&amp;"")="","OK",UPPER(TRIM(G4)))</f>
        <v>LOW</v>
      </c>
      <c r="N4" s="4" t="n">
        <f aca="false">IF(M4="OUT",3,IF(M4="CRITICAL",2,IF(M4="LOW",1,0)))</f>
        <v>1</v>
      </c>
      <c r="O4" s="4" t="n">
        <f aca="false">IF(OR(L4&gt;N4,AND(J4="DATA_ERROR",M4&lt;&gt;"DATA_ERROR")),1,0)</f>
        <v>0</v>
      </c>
      <c r="P4" s="4" t="n">
        <f aca="false">IF(J4&lt;&gt;M4,1,0)</f>
        <v>0</v>
      </c>
      <c r="Q4" s="4" t="n">
        <f aca="false">IF(J4="OUT",4,IF(J4="CRITICAL",3,IF(J4="LOW",2,IF(J4="DATA_ERROR",1,0))))</f>
        <v>2</v>
      </c>
      <c r="R4" s="4" t="str">
        <f aca="false">IF(J4="OK","",IF(J4="DATA_ERROR","⚠️ "&amp;A4&amp;" "&amp;B4&amp;" — "&amp;K4,IF(J4="OUT","🔴",IF(J4="CRITICAL","🟠","🟡"))&amp;" "&amp;J4&amp;": "&amp;A4&amp;" "&amp;B4&amp;" — stock "&amp;H4&amp;" (reorder at "&amp;I4&amp;") · "&amp;F4))</f>
        <v>🟡 LOW: SKU-003 Hooded Sweatshirt — stock 22 (reorder at 30) · Textiles Norte</v>
      </c>
    </row>
    <row r="5" customFormat="false" ht="15" hidden="false" customHeight="false" outlineLevel="0" collapsed="false">
      <c r="A5" s="3" t="s">
        <v>27</v>
      </c>
      <c r="B5" s="3" t="s">
        <v>28</v>
      </c>
      <c r="C5" s="3" t="s">
        <v>20</v>
      </c>
      <c r="D5" s="3" t="n">
        <v>12</v>
      </c>
      <c r="E5" s="3" t="n">
        <v>30</v>
      </c>
      <c r="F5" s="3" t="s">
        <v>29</v>
      </c>
      <c r="G5" s="3"/>
      <c r="H5" s="4" t="n">
        <f aca="false">IFERROR(VALUE(TRIM(D5&amp;"")),"")</f>
        <v>12</v>
      </c>
      <c r="I5" s="4" t="n">
        <f aca="false">IFERROR(VALUE(TRIM(E5&amp;"")),"")</f>
        <v>30</v>
      </c>
      <c r="J5" s="5" t="str">
        <f aca="false">IF(OR(H5="",H5&lt;0),"DATA_ERROR",IF(OR(I5="",I5&lt;=0),"DATA_ERROR",IF(H5=0,"OUT",IF(H5&lt;=I5*0.5,"CRITICAL",IF(H5&lt;=I5,"LOW","OK")))))</f>
        <v>CRITICAL</v>
      </c>
      <c r="K5" s="4" t="str">
        <f aca="false">IF(J5&lt;&gt;"DATA_ERROR","",IF(OR(H5="",H5&lt;0),"invalid stock: '"&amp;D5&amp;"'","invalid reorder_point: '"&amp;E5&amp;"'"))</f>
        <v/>
      </c>
      <c r="L5" s="4" t="n">
        <f aca="false">IF(J5="OUT",3,IF(J5="CRITICAL",2,IF(J5="LOW",1,0)))</f>
        <v>2</v>
      </c>
      <c r="M5" s="4" t="str">
        <f aca="false">IF(TRIM(G5&amp;"")="","OK",UPPER(TRIM(G5)))</f>
        <v>OK</v>
      </c>
      <c r="N5" s="4" t="n">
        <f aca="false">IF(M5="OUT",3,IF(M5="CRITICAL",2,IF(M5="LOW",1,0)))</f>
        <v>0</v>
      </c>
      <c r="O5" s="4" t="n">
        <f aca="false">IF(OR(L5&gt;N5,AND(J5="DATA_ERROR",M5&lt;&gt;"DATA_ERROR")),1,0)</f>
        <v>1</v>
      </c>
      <c r="P5" s="4" t="n">
        <f aca="false">IF(J5&lt;&gt;M5,1,0)</f>
        <v>1</v>
      </c>
      <c r="Q5" s="4" t="n">
        <f aca="false">IF(J5="OUT",4,IF(J5="CRITICAL",3,IF(J5="LOW",2,IF(J5="DATA_ERROR",1,0))))</f>
        <v>3</v>
      </c>
      <c r="R5" s="4" t="str">
        <f aca="false">IF(J5="OK","",IF(J5="DATA_ERROR","⚠️ "&amp;A5&amp;" "&amp;B5&amp;" — "&amp;K5,IF(J5="OUT","🔴",IF(J5="CRITICAL","🟠","🟡"))&amp;" "&amp;J5&amp;": "&amp;A5&amp;" "&amp;B5&amp;" — stock "&amp;H5&amp;" (reorder at "&amp;I5&amp;") · "&amp;F5))</f>
        <v>🟠 CRITICAL: SKU-004 Summer Dress — stock 12 (reorder at 30) · Moda Sur</v>
      </c>
    </row>
    <row r="6" customFormat="false" ht="15" hidden="false" customHeight="false" outlineLevel="0" collapsed="false">
      <c r="A6" s="3" t="s">
        <v>30</v>
      </c>
      <c r="B6" s="3" t="s">
        <v>31</v>
      </c>
      <c r="C6" s="3" t="s">
        <v>32</v>
      </c>
      <c r="D6" s="3" t="n">
        <v>60</v>
      </c>
      <c r="E6" s="3" t="n">
        <v>20</v>
      </c>
      <c r="F6" s="3" t="s">
        <v>33</v>
      </c>
      <c r="G6" s="3"/>
      <c r="H6" s="4" t="n">
        <f aca="false">IFERROR(VALUE(TRIM(D6&amp;"")),"")</f>
        <v>60</v>
      </c>
      <c r="I6" s="4" t="n">
        <f aca="false">IFERROR(VALUE(TRIM(E6&amp;"")),"")</f>
        <v>20</v>
      </c>
      <c r="J6" s="5" t="str">
        <f aca="false">IF(OR(H6="",H6&lt;0),"DATA_ERROR",IF(OR(I6="",I6&lt;=0),"DATA_ERROR",IF(H6=0,"OUT",IF(H6&lt;=I6*0.5,"CRITICAL",IF(H6&lt;=I6,"LOW","OK")))))</f>
        <v>OK</v>
      </c>
      <c r="K6" s="4" t="str">
        <f aca="false">IF(J6&lt;&gt;"DATA_ERROR","",IF(OR(H6="",H6&lt;0),"invalid stock: '"&amp;D6&amp;"'","invalid reorder_point: '"&amp;E6&amp;"'"))</f>
        <v/>
      </c>
      <c r="L6" s="4" t="n">
        <f aca="false">IF(J6="OUT",3,IF(J6="CRITICAL",2,IF(J6="LOW",1,0)))</f>
        <v>0</v>
      </c>
      <c r="M6" s="4" t="str">
        <f aca="false">IF(TRIM(G6&amp;"")="","OK",UPPER(TRIM(G6)))</f>
        <v>OK</v>
      </c>
      <c r="N6" s="4" t="n">
        <f aca="false">IF(M6="OUT",3,IF(M6="CRITICAL",2,IF(M6="LOW",1,0)))</f>
        <v>0</v>
      </c>
      <c r="O6" s="4" t="n">
        <f aca="false">IF(OR(L6&gt;N6,AND(J6="DATA_ERROR",M6&lt;&gt;"DATA_ERROR")),1,0)</f>
        <v>0</v>
      </c>
      <c r="P6" s="4" t="n">
        <f aca="false">IF(J6&lt;&gt;M6,1,0)</f>
        <v>0</v>
      </c>
      <c r="Q6" s="4" t="n">
        <f aca="false">IF(J6="OUT",4,IF(J6="CRITICAL",3,IF(J6="LOW",2,IF(J6="DATA_ERROR",1,0))))</f>
        <v>0</v>
      </c>
      <c r="R6" s="4" t="str">
        <f aca="false">IF(J6="OK","",IF(J6="DATA_ERROR","⚠️ "&amp;A6&amp;" "&amp;B6&amp;" — "&amp;K6,IF(J6="OUT","🔴",IF(J6="CRITICAL","🟠","🟡"))&amp;" "&amp;J6&amp;": "&amp;A6&amp;" "&amp;B6&amp;" — stock "&amp;H6&amp;" (reorder at "&amp;I6&amp;") · "&amp;F6))</f>
        <v/>
      </c>
    </row>
    <row r="7" customFormat="false" ht="15" hidden="false" customHeight="false" outlineLevel="0" collapsed="false">
      <c r="A7" s="3" t="s">
        <v>34</v>
      </c>
      <c r="B7" s="3" t="s">
        <v>35</v>
      </c>
      <c r="C7" s="3" t="s">
        <v>32</v>
      </c>
      <c r="D7" s="3" t="n">
        <v>0</v>
      </c>
      <c r="E7" s="3" t="n">
        <v>15</v>
      </c>
      <c r="F7" s="3" t="s">
        <v>33</v>
      </c>
      <c r="G7" s="3" t="s">
        <v>36</v>
      </c>
      <c r="H7" s="4" t="n">
        <f aca="false">IFERROR(VALUE(TRIM(D7&amp;"")),"")</f>
        <v>0</v>
      </c>
      <c r="I7" s="4" t="n">
        <f aca="false">IFERROR(VALUE(TRIM(E7&amp;"")),"")</f>
        <v>15</v>
      </c>
      <c r="J7" s="5" t="str">
        <f aca="false">IF(OR(H7="",H7&lt;0),"DATA_ERROR",IF(OR(I7="",I7&lt;=0),"DATA_ERROR",IF(H7=0,"OUT",IF(H7&lt;=I7*0.5,"CRITICAL",IF(H7&lt;=I7,"LOW","OK")))))</f>
        <v>OUT</v>
      </c>
      <c r="K7" s="4" t="str">
        <f aca="false">IF(J7&lt;&gt;"DATA_ERROR","",IF(OR(H7="",H7&lt;0),"invalid stock: '"&amp;D7&amp;"'","invalid reorder_point: '"&amp;E7&amp;"'"))</f>
        <v/>
      </c>
      <c r="L7" s="4" t="n">
        <f aca="false">IF(J7="OUT",3,IF(J7="CRITICAL",2,IF(J7="LOW",1,0)))</f>
        <v>3</v>
      </c>
      <c r="M7" s="4" t="str">
        <f aca="false">IF(TRIM(G7&amp;"")="","OK",UPPER(TRIM(G7)))</f>
        <v>CRITICAL</v>
      </c>
      <c r="N7" s="4" t="n">
        <f aca="false">IF(M7="OUT",3,IF(M7="CRITICAL",2,IF(M7="LOW",1,0)))</f>
        <v>2</v>
      </c>
      <c r="O7" s="4" t="n">
        <f aca="false">IF(OR(L7&gt;N7,AND(J7="DATA_ERROR",M7&lt;&gt;"DATA_ERROR")),1,0)</f>
        <v>1</v>
      </c>
      <c r="P7" s="4" t="n">
        <f aca="false">IF(J7&lt;&gt;M7,1,0)</f>
        <v>1</v>
      </c>
      <c r="Q7" s="4" t="n">
        <f aca="false">IF(J7="OUT",4,IF(J7="CRITICAL",3,IF(J7="LOW",2,IF(J7="DATA_ERROR",1,0))))</f>
        <v>4</v>
      </c>
      <c r="R7" s="4" t="str">
        <f aca="false">IF(J7="OK","",IF(J7="DATA_ERROR","⚠️ "&amp;A7&amp;" "&amp;B7&amp;" — "&amp;K7,IF(J7="OUT","🔴",IF(J7="CRITICAL","🟠","🟡"))&amp;" "&amp;J7&amp;": "&amp;A7&amp;" "&amp;B7&amp;" — stock "&amp;H7&amp;" (reorder at "&amp;I7&amp;") · "&amp;F7))</f>
        <v>🔴 OUT: SKU-006 Canvas Backpack — stock 0 (reorder at 15) · Cuero Andino</v>
      </c>
    </row>
    <row r="8" customFormat="false" ht="15" hidden="false" customHeight="false" outlineLevel="0" collapsed="false">
      <c r="A8" s="3" t="s">
        <v>37</v>
      </c>
      <c r="B8" s="3" t="s">
        <v>38</v>
      </c>
      <c r="C8" s="3" t="s">
        <v>32</v>
      </c>
      <c r="D8" s="3" t="n">
        <v>18</v>
      </c>
      <c r="E8" s="3" t="n">
        <v>15</v>
      </c>
      <c r="F8" s="3" t="s">
        <v>39</v>
      </c>
      <c r="G8" s="3"/>
      <c r="H8" s="4" t="n">
        <f aca="false">IFERROR(VALUE(TRIM(D8&amp;"")),"")</f>
        <v>18</v>
      </c>
      <c r="I8" s="4" t="n">
        <f aca="false">IFERROR(VALUE(TRIM(E8&amp;"")),"")</f>
        <v>15</v>
      </c>
      <c r="J8" s="5" t="str">
        <f aca="false">IF(OR(H8="",H8&lt;0),"DATA_ERROR",IF(OR(I8="",I8&lt;=0),"DATA_ERROR",IF(H8=0,"OUT",IF(H8&lt;=I8*0.5,"CRITICAL",IF(H8&lt;=I8,"LOW","OK")))))</f>
        <v>OK</v>
      </c>
      <c r="K8" s="4" t="str">
        <f aca="false">IF(J8&lt;&gt;"DATA_ERROR","",IF(OR(H8="",H8&lt;0),"invalid stock: '"&amp;D8&amp;"'","invalid reorder_point: '"&amp;E8&amp;"'"))</f>
        <v/>
      </c>
      <c r="L8" s="4" t="n">
        <f aca="false">IF(J8="OUT",3,IF(J8="CRITICAL",2,IF(J8="LOW",1,0)))</f>
        <v>0</v>
      </c>
      <c r="M8" s="4" t="str">
        <f aca="false">IF(TRIM(G8&amp;"")="","OK",UPPER(TRIM(G8)))</f>
        <v>OK</v>
      </c>
      <c r="N8" s="4" t="n">
        <f aca="false">IF(M8="OUT",3,IF(M8="CRITICAL",2,IF(M8="LOW",1,0)))</f>
        <v>0</v>
      </c>
      <c r="O8" s="4" t="n">
        <f aca="false">IF(OR(L8&gt;N8,AND(J8="DATA_ERROR",M8&lt;&gt;"DATA_ERROR")),1,0)</f>
        <v>0</v>
      </c>
      <c r="P8" s="4" t="n">
        <f aca="false">IF(J8&lt;&gt;M8,1,0)</f>
        <v>0</v>
      </c>
      <c r="Q8" s="4" t="n">
        <f aca="false">IF(J8="OUT",4,IF(J8="CRITICAL",3,IF(J8="LOW",2,IF(J8="DATA_ERROR",1,0))))</f>
        <v>0</v>
      </c>
      <c r="R8" s="4" t="str">
        <f aca="false">IF(J8="OK","",IF(J8="DATA_ERROR","⚠️ "&amp;A8&amp;" "&amp;B8&amp;" — "&amp;K8,IF(J8="OUT","🔴",IF(J8="CRITICAL","🟠","🟡"))&amp;" "&amp;J8&amp;": "&amp;A8&amp;" "&amp;B8&amp;" — stock "&amp;H8&amp;" (reorder at "&amp;I8&amp;") · "&amp;F8))</f>
        <v/>
      </c>
    </row>
    <row r="9" customFormat="false" ht="15" hidden="false" customHeight="false" outlineLevel="0" collapsed="false">
      <c r="A9" s="3" t="s">
        <v>40</v>
      </c>
      <c r="B9" s="3" t="s">
        <v>41</v>
      </c>
      <c r="C9" s="3" t="s">
        <v>32</v>
      </c>
      <c r="D9" s="3" t="n">
        <v>9</v>
      </c>
      <c r="E9" s="3" t="n">
        <v>20</v>
      </c>
      <c r="F9" s="3" t="s">
        <v>21</v>
      </c>
      <c r="G9" s="3"/>
      <c r="H9" s="4" t="n">
        <f aca="false">IFERROR(VALUE(TRIM(D9&amp;"")),"")</f>
        <v>9</v>
      </c>
      <c r="I9" s="4" t="n">
        <f aca="false">IFERROR(VALUE(TRIM(E9&amp;"")),"")</f>
        <v>20</v>
      </c>
      <c r="J9" s="5" t="str">
        <f aca="false">IF(OR(H9="",H9&lt;0),"DATA_ERROR",IF(OR(I9="",I9&lt;=0),"DATA_ERROR",IF(H9=0,"OUT",IF(H9&lt;=I9*0.5,"CRITICAL",IF(H9&lt;=I9,"LOW","OK")))))</f>
        <v>CRITICAL</v>
      </c>
      <c r="K9" s="4" t="str">
        <f aca="false">IF(J9&lt;&gt;"DATA_ERROR","",IF(OR(H9="",H9&lt;0),"invalid stock: '"&amp;D9&amp;"'","invalid reorder_point: '"&amp;E9&amp;"'"))</f>
        <v/>
      </c>
      <c r="L9" s="4" t="n">
        <f aca="false">IF(J9="OUT",3,IF(J9="CRITICAL",2,IF(J9="LOW",1,0)))</f>
        <v>2</v>
      </c>
      <c r="M9" s="4" t="str">
        <f aca="false">IF(TRIM(G9&amp;"")="","OK",UPPER(TRIM(G9)))</f>
        <v>OK</v>
      </c>
      <c r="N9" s="4" t="n">
        <f aca="false">IF(M9="OUT",3,IF(M9="CRITICAL",2,IF(M9="LOW",1,0)))</f>
        <v>0</v>
      </c>
      <c r="O9" s="4" t="n">
        <f aca="false">IF(OR(L9&gt;N9,AND(J9="DATA_ERROR",M9&lt;&gt;"DATA_ERROR")),1,0)</f>
        <v>1</v>
      </c>
      <c r="P9" s="4" t="n">
        <f aca="false">IF(J9&lt;&gt;M9,1,0)</f>
        <v>1</v>
      </c>
      <c r="Q9" s="4" t="n">
        <f aca="false">IF(J9="OUT",4,IF(J9="CRITICAL",3,IF(J9="LOW",2,IF(J9="DATA_ERROR",1,0))))</f>
        <v>3</v>
      </c>
      <c r="R9" s="4" t="str">
        <f aca="false">IF(J9="OK","",IF(J9="DATA_ERROR","⚠️ "&amp;A9&amp;" "&amp;B9&amp;" — "&amp;K9,IF(J9="OUT","🔴",IF(J9="CRITICAL","🟠","🟡"))&amp;" "&amp;J9&amp;": "&amp;A9&amp;" "&amp;B9&amp;" — stock "&amp;H9&amp;" (reorder at "&amp;I9&amp;") · "&amp;F9))</f>
        <v>🟠 CRITICAL: SKU-008 Wool Scarf — stock 9 (reorder at 20) · Textiles Norte</v>
      </c>
    </row>
    <row r="10" customFormat="false" ht="15" hidden="false" customHeight="false" outlineLevel="0" collapsed="false">
      <c r="A10" s="3" t="s">
        <v>42</v>
      </c>
      <c r="B10" s="3" t="s">
        <v>43</v>
      </c>
      <c r="C10" s="3" t="s">
        <v>44</v>
      </c>
      <c r="D10" s="3" t="n">
        <v>75</v>
      </c>
      <c r="E10" s="3" t="n">
        <v>35</v>
      </c>
      <c r="F10" s="3" t="s">
        <v>45</v>
      </c>
      <c r="G10" s="3"/>
      <c r="H10" s="4" t="n">
        <f aca="false">IFERROR(VALUE(TRIM(D10&amp;"")),"")</f>
        <v>75</v>
      </c>
      <c r="I10" s="4" t="n">
        <f aca="false">IFERROR(VALUE(TRIM(E10&amp;"")),"")</f>
        <v>35</v>
      </c>
      <c r="J10" s="5" t="str">
        <f aca="false">IF(OR(H10="",H10&lt;0),"DATA_ERROR",IF(OR(I10="",I10&lt;=0),"DATA_ERROR",IF(H10=0,"OUT",IF(H10&lt;=I10*0.5,"CRITICAL",IF(H10&lt;=I10,"LOW","OK")))))</f>
        <v>OK</v>
      </c>
      <c r="K10" s="4" t="str">
        <f aca="false">IF(J10&lt;&gt;"DATA_ERROR","",IF(OR(H10="",H10&lt;0),"invalid stock: '"&amp;D10&amp;"'","invalid reorder_point: '"&amp;E10&amp;"'"))</f>
        <v/>
      </c>
      <c r="L10" s="4" t="n">
        <f aca="false">IF(J10="OUT",3,IF(J10="CRITICAL",2,IF(J10="LOW",1,0)))</f>
        <v>0</v>
      </c>
      <c r="M10" s="4" t="str">
        <f aca="false">IF(TRIM(G10&amp;"")="","OK",UPPER(TRIM(G10)))</f>
        <v>OK</v>
      </c>
      <c r="N10" s="4" t="n">
        <f aca="false">IF(M10="OUT",3,IF(M10="CRITICAL",2,IF(M10="LOW",1,0)))</f>
        <v>0</v>
      </c>
      <c r="O10" s="4" t="n">
        <f aca="false">IF(OR(L10&gt;N10,AND(J10="DATA_ERROR",M10&lt;&gt;"DATA_ERROR")),1,0)</f>
        <v>0</v>
      </c>
      <c r="P10" s="4" t="n">
        <f aca="false">IF(J10&lt;&gt;M10,1,0)</f>
        <v>0</v>
      </c>
      <c r="Q10" s="4" t="n">
        <f aca="false">IF(J10="OUT",4,IF(J10="CRITICAL",3,IF(J10="LOW",2,IF(J10="DATA_ERROR",1,0))))</f>
        <v>0</v>
      </c>
      <c r="R10" s="4" t="str">
        <f aca="false">IF(J10="OK","",IF(J10="DATA_ERROR","⚠️ "&amp;A10&amp;" "&amp;B10&amp;" — "&amp;K10,IF(J10="OUT","🔴",IF(J10="CRITICAL","🟠","🟡"))&amp;" "&amp;J10&amp;": "&amp;A10&amp;" "&amp;B10&amp;" — stock "&amp;H10&amp;" (reorder at "&amp;I10&amp;") · "&amp;F10))</f>
        <v/>
      </c>
    </row>
    <row r="11" customFormat="false" ht="15" hidden="false" customHeight="false" outlineLevel="0" collapsed="false">
      <c r="A11" s="3" t="s">
        <v>46</v>
      </c>
      <c r="B11" s="3" t="s">
        <v>47</v>
      </c>
      <c r="C11" s="3" t="s">
        <v>44</v>
      </c>
      <c r="D11" s="3" t="n">
        <v>14</v>
      </c>
      <c r="E11" s="3" t="n">
        <v>25</v>
      </c>
      <c r="F11" s="3" t="s">
        <v>45</v>
      </c>
      <c r="G11" s="3" t="s">
        <v>26</v>
      </c>
      <c r="H11" s="4" t="n">
        <f aca="false">IFERROR(VALUE(TRIM(D11&amp;"")),"")</f>
        <v>14</v>
      </c>
      <c r="I11" s="4" t="n">
        <f aca="false">IFERROR(VALUE(TRIM(E11&amp;"")),"")</f>
        <v>25</v>
      </c>
      <c r="J11" s="5" t="str">
        <f aca="false">IF(OR(H11="",H11&lt;0),"DATA_ERROR",IF(OR(I11="",I11&lt;=0),"DATA_ERROR",IF(H11=0,"OUT",IF(H11&lt;=I11*0.5,"CRITICAL",IF(H11&lt;=I11,"LOW","OK")))))</f>
        <v>LOW</v>
      </c>
      <c r="K11" s="4" t="str">
        <f aca="false">IF(J11&lt;&gt;"DATA_ERROR","",IF(OR(H11="",H11&lt;0),"invalid stock: '"&amp;D11&amp;"'","invalid reorder_point: '"&amp;E11&amp;"'"))</f>
        <v/>
      </c>
      <c r="L11" s="4" t="n">
        <f aca="false">IF(J11="OUT",3,IF(J11="CRITICAL",2,IF(J11="LOW",1,0)))</f>
        <v>1</v>
      </c>
      <c r="M11" s="4" t="str">
        <f aca="false">IF(TRIM(G11&amp;"")="","OK",UPPER(TRIM(G11)))</f>
        <v>LOW</v>
      </c>
      <c r="N11" s="4" t="n">
        <f aca="false">IF(M11="OUT",3,IF(M11="CRITICAL",2,IF(M11="LOW",1,0)))</f>
        <v>1</v>
      </c>
      <c r="O11" s="4" t="n">
        <f aca="false">IF(OR(L11&gt;N11,AND(J11="DATA_ERROR",M11&lt;&gt;"DATA_ERROR")),1,0)</f>
        <v>0</v>
      </c>
      <c r="P11" s="4" t="n">
        <f aca="false">IF(J11&lt;&gt;M11,1,0)</f>
        <v>0</v>
      </c>
      <c r="Q11" s="4" t="n">
        <f aca="false">IF(J11="OUT",4,IF(J11="CRITICAL",3,IF(J11="LOW",2,IF(J11="DATA_ERROR",1,0))))</f>
        <v>2</v>
      </c>
      <c r="R11" s="4" t="str">
        <f aca="false">IF(J11="OK","",IF(J11="DATA_ERROR","⚠️ "&amp;A11&amp;" "&amp;B11&amp;" — "&amp;K11,IF(J11="OUT","🔴",IF(J11="CRITICAL","🟠","🟡"))&amp;" "&amp;J11&amp;": "&amp;A11&amp;" "&amp;B11&amp;" — stock "&amp;H11&amp;" (reorder at "&amp;I11&amp;") · "&amp;F11))</f>
        <v>🟡 LOW: SKU-010 Leather Boots — stock 14 (reorder at 25) · Calzado Oriente</v>
      </c>
    </row>
    <row r="12" customFormat="false" ht="15" hidden="false" customHeight="false" outlineLevel="0" collapsed="false">
      <c r="A12" s="3" t="s">
        <v>48</v>
      </c>
      <c r="B12" s="3" t="s">
        <v>49</v>
      </c>
      <c r="C12" s="3" t="s">
        <v>44</v>
      </c>
      <c r="D12" s="3" t="n">
        <v>88</v>
      </c>
      <c r="E12" s="3" t="n">
        <v>30</v>
      </c>
      <c r="F12" s="3" t="s">
        <v>45</v>
      </c>
      <c r="G12" s="3"/>
      <c r="H12" s="4" t="n">
        <f aca="false">IFERROR(VALUE(TRIM(D12&amp;"")),"")</f>
        <v>88</v>
      </c>
      <c r="I12" s="4" t="n">
        <f aca="false">IFERROR(VALUE(TRIM(E12&amp;"")),"")</f>
        <v>30</v>
      </c>
      <c r="J12" s="5" t="str">
        <f aca="false">IF(OR(H12="",H12&lt;0),"DATA_ERROR",IF(OR(I12="",I12&lt;=0),"DATA_ERROR",IF(H12=0,"OUT",IF(H12&lt;=I12*0.5,"CRITICAL",IF(H12&lt;=I12,"LOW","OK")))))</f>
        <v>OK</v>
      </c>
      <c r="K12" s="4" t="str">
        <f aca="false">IF(J12&lt;&gt;"DATA_ERROR","",IF(OR(H12="",H12&lt;0),"invalid stock: '"&amp;D12&amp;"'","invalid reorder_point: '"&amp;E12&amp;"'"))</f>
        <v/>
      </c>
      <c r="L12" s="4" t="n">
        <f aca="false">IF(J12="OUT",3,IF(J12="CRITICAL",2,IF(J12="LOW",1,0)))</f>
        <v>0</v>
      </c>
      <c r="M12" s="4" t="str">
        <f aca="false">IF(TRIM(G12&amp;"")="","OK",UPPER(TRIM(G12)))</f>
        <v>OK</v>
      </c>
      <c r="N12" s="4" t="n">
        <f aca="false">IF(M12="OUT",3,IF(M12="CRITICAL",2,IF(M12="LOW",1,0)))</f>
        <v>0</v>
      </c>
      <c r="O12" s="4" t="n">
        <f aca="false">IF(OR(L12&gt;N12,AND(J12="DATA_ERROR",M12&lt;&gt;"DATA_ERROR")),1,0)</f>
        <v>0</v>
      </c>
      <c r="P12" s="4" t="n">
        <f aca="false">IF(J12&lt;&gt;M12,1,0)</f>
        <v>0</v>
      </c>
      <c r="Q12" s="4" t="n">
        <f aca="false">IF(J12="OUT",4,IF(J12="CRITICAL",3,IF(J12="LOW",2,IF(J12="DATA_ERROR",1,0))))</f>
        <v>0</v>
      </c>
      <c r="R12" s="4" t="str">
        <f aca="false">IF(J12="OK","",IF(J12="DATA_ERROR","⚠️ "&amp;A12&amp;" "&amp;B12&amp;" — "&amp;K12,IF(J12="OUT","🔴",IF(J12="CRITICAL","🟠","🟡"))&amp;" "&amp;J12&amp;": "&amp;A12&amp;" "&amp;B12&amp;" — stock "&amp;H12&amp;" (reorder at "&amp;I12&amp;") · "&amp;F12))</f>
        <v/>
      </c>
    </row>
    <row r="13" customFormat="false" ht="15" hidden="false" customHeight="false" outlineLevel="0" collapsed="false">
      <c r="A13" s="3" t="s">
        <v>50</v>
      </c>
      <c r="B13" s="3" t="s">
        <v>51</v>
      </c>
      <c r="C13" s="3" t="s">
        <v>44</v>
      </c>
      <c r="D13" s="3" t="n">
        <v>41</v>
      </c>
      <c r="E13" s="3" t="n">
        <v>40</v>
      </c>
      <c r="F13" s="3" t="s">
        <v>45</v>
      </c>
      <c r="G13" s="3"/>
      <c r="H13" s="4" t="n">
        <f aca="false">IFERROR(VALUE(TRIM(D13&amp;"")),"")</f>
        <v>41</v>
      </c>
      <c r="I13" s="4" t="n">
        <f aca="false">IFERROR(VALUE(TRIM(E13&amp;"")),"")</f>
        <v>40</v>
      </c>
      <c r="J13" s="5" t="str">
        <f aca="false">IF(OR(H13="",H13&lt;0),"DATA_ERROR",IF(OR(I13="",I13&lt;=0),"DATA_ERROR",IF(H13=0,"OUT",IF(H13&lt;=I13*0.5,"CRITICAL",IF(H13&lt;=I13,"LOW","OK")))))</f>
        <v>OK</v>
      </c>
      <c r="K13" s="4" t="str">
        <f aca="false">IF(J13&lt;&gt;"DATA_ERROR","",IF(OR(H13="",H13&lt;0),"invalid stock: '"&amp;D13&amp;"'","invalid reorder_point: '"&amp;E13&amp;"'"))</f>
        <v/>
      </c>
      <c r="L13" s="4" t="n">
        <f aca="false">IF(J13="OUT",3,IF(J13="CRITICAL",2,IF(J13="LOW",1,0)))</f>
        <v>0</v>
      </c>
      <c r="M13" s="4" t="str">
        <f aca="false">IF(TRIM(G13&amp;"")="","OK",UPPER(TRIM(G13)))</f>
        <v>OK</v>
      </c>
      <c r="N13" s="4" t="n">
        <f aca="false">IF(M13="OUT",3,IF(M13="CRITICAL",2,IF(M13="LOW",1,0)))</f>
        <v>0</v>
      </c>
      <c r="O13" s="4" t="n">
        <f aca="false">IF(OR(L13&gt;N13,AND(J13="DATA_ERROR",M13&lt;&gt;"DATA_ERROR")),1,0)</f>
        <v>0</v>
      </c>
      <c r="P13" s="4" t="n">
        <f aca="false">IF(J13&lt;&gt;M13,1,0)</f>
        <v>0</v>
      </c>
      <c r="Q13" s="4" t="n">
        <f aca="false">IF(J13="OUT",4,IF(J13="CRITICAL",3,IF(J13="LOW",2,IF(J13="DATA_ERROR",1,0))))</f>
        <v>0</v>
      </c>
      <c r="R13" s="4" t="str">
        <f aca="false">IF(J13="OK","",IF(J13="DATA_ERROR","⚠️ "&amp;A13&amp;" "&amp;B13&amp;" — "&amp;K13,IF(J13="OUT","🔴",IF(J13="CRITICAL","🟠","🟡"))&amp;" "&amp;J13&amp;": "&amp;A13&amp;" "&amp;B13&amp;" — stock "&amp;H13&amp;" (reorder at "&amp;I13&amp;") · "&amp;F13))</f>
        <v/>
      </c>
    </row>
    <row r="14" customFormat="false" ht="15" hidden="false" customHeight="false" outlineLevel="0" collapsed="false">
      <c r="A14" s="3" t="s">
        <v>52</v>
      </c>
      <c r="B14" s="3" t="s">
        <v>53</v>
      </c>
      <c r="C14" s="3" t="s">
        <v>54</v>
      </c>
      <c r="D14" s="3" t="n">
        <v>200</v>
      </c>
      <c r="E14" s="3" t="n">
        <v>80</v>
      </c>
      <c r="F14" s="3" t="s">
        <v>21</v>
      </c>
      <c r="G14" s="3"/>
      <c r="H14" s="4" t="n">
        <f aca="false">IFERROR(VALUE(TRIM(D14&amp;"")),"")</f>
        <v>200</v>
      </c>
      <c r="I14" s="4" t="n">
        <f aca="false">IFERROR(VALUE(TRIM(E14&amp;"")),"")</f>
        <v>80</v>
      </c>
      <c r="J14" s="5" t="str">
        <f aca="false">IF(OR(H14="",H14&lt;0),"DATA_ERROR",IF(OR(I14="",I14&lt;=0),"DATA_ERROR",IF(H14=0,"OUT",IF(H14&lt;=I14*0.5,"CRITICAL",IF(H14&lt;=I14,"LOW","OK")))))</f>
        <v>OK</v>
      </c>
      <c r="K14" s="4" t="str">
        <f aca="false">IF(J14&lt;&gt;"DATA_ERROR","",IF(OR(H14="",H14&lt;0),"invalid stock: '"&amp;D14&amp;"'","invalid reorder_point: '"&amp;E14&amp;"'"))</f>
        <v/>
      </c>
      <c r="L14" s="4" t="n">
        <f aca="false">IF(J14="OUT",3,IF(J14="CRITICAL",2,IF(J14="LOW",1,0)))</f>
        <v>0</v>
      </c>
      <c r="M14" s="4" t="str">
        <f aca="false">IF(TRIM(G14&amp;"")="","OK",UPPER(TRIM(G14)))</f>
        <v>OK</v>
      </c>
      <c r="N14" s="4" t="n">
        <f aca="false">IF(M14="OUT",3,IF(M14="CRITICAL",2,IF(M14="LOW",1,0)))</f>
        <v>0</v>
      </c>
      <c r="O14" s="4" t="n">
        <f aca="false">IF(OR(L14&gt;N14,AND(J14="DATA_ERROR",M14&lt;&gt;"DATA_ERROR")),1,0)</f>
        <v>0</v>
      </c>
      <c r="P14" s="4" t="n">
        <f aca="false">IF(J14&lt;&gt;M14,1,0)</f>
        <v>0</v>
      </c>
      <c r="Q14" s="4" t="n">
        <f aca="false">IF(J14="OUT",4,IF(J14="CRITICAL",3,IF(J14="LOW",2,IF(J14="DATA_ERROR",1,0))))</f>
        <v>0</v>
      </c>
      <c r="R14" s="4" t="str">
        <f aca="false">IF(J14="OK","",IF(J14="DATA_ERROR","⚠️ "&amp;A14&amp;" "&amp;B14&amp;" — "&amp;K14,IF(J14="OUT","🔴",IF(J14="CRITICAL","🟠","🟡"))&amp;" "&amp;J14&amp;": "&amp;A14&amp;" "&amp;B14&amp;" — stock "&amp;H14&amp;" (reorder at "&amp;I14&amp;") · "&amp;F14))</f>
        <v/>
      </c>
    </row>
    <row r="15" customFormat="false" ht="15" hidden="false" customHeight="false" outlineLevel="0" collapsed="false">
      <c r="A15" s="3" t="s">
        <v>55</v>
      </c>
      <c r="B15" s="3" t="s">
        <v>56</v>
      </c>
      <c r="C15" s="3" t="s">
        <v>54</v>
      </c>
      <c r="D15" s="3" t="n">
        <v>5</v>
      </c>
      <c r="E15" s="3" t="n">
        <v>60</v>
      </c>
      <c r="F15" s="3" t="s">
        <v>21</v>
      </c>
      <c r="G15" s="3"/>
      <c r="H15" s="4" t="n">
        <f aca="false">IFERROR(VALUE(TRIM(D15&amp;"")),"")</f>
        <v>5</v>
      </c>
      <c r="I15" s="4" t="n">
        <f aca="false">IFERROR(VALUE(TRIM(E15&amp;"")),"")</f>
        <v>60</v>
      </c>
      <c r="J15" s="5" t="str">
        <f aca="false">IF(OR(H15="",H15&lt;0),"DATA_ERROR",IF(OR(I15="",I15&lt;=0),"DATA_ERROR",IF(H15=0,"OUT",IF(H15&lt;=I15*0.5,"CRITICAL",IF(H15&lt;=I15,"LOW","OK")))))</f>
        <v>CRITICAL</v>
      </c>
      <c r="K15" s="4" t="str">
        <f aca="false">IF(J15&lt;&gt;"DATA_ERROR","",IF(OR(H15="",H15&lt;0),"invalid stock: '"&amp;D15&amp;"'","invalid reorder_point: '"&amp;E15&amp;"'"))</f>
        <v/>
      </c>
      <c r="L15" s="4" t="n">
        <f aca="false">IF(J15="OUT",3,IF(J15="CRITICAL",2,IF(J15="LOW",1,0)))</f>
        <v>2</v>
      </c>
      <c r="M15" s="4" t="str">
        <f aca="false">IF(TRIM(G15&amp;"")="","OK",UPPER(TRIM(G15)))</f>
        <v>OK</v>
      </c>
      <c r="N15" s="4" t="n">
        <f aca="false">IF(M15="OUT",3,IF(M15="CRITICAL",2,IF(M15="LOW",1,0)))</f>
        <v>0</v>
      </c>
      <c r="O15" s="4" t="n">
        <f aca="false">IF(OR(L15&gt;N15,AND(J15="DATA_ERROR",M15&lt;&gt;"DATA_ERROR")),1,0)</f>
        <v>1</v>
      </c>
      <c r="P15" s="4" t="n">
        <f aca="false">IF(J15&lt;&gt;M15,1,0)</f>
        <v>1</v>
      </c>
      <c r="Q15" s="4" t="n">
        <f aca="false">IF(J15="OUT",4,IF(J15="CRITICAL",3,IF(J15="LOW",2,IF(J15="DATA_ERROR",1,0))))</f>
        <v>3</v>
      </c>
      <c r="R15" s="4" t="str">
        <f aca="false">IF(J15="OK","",IF(J15="DATA_ERROR","⚠️ "&amp;A15&amp;" "&amp;B15&amp;" — "&amp;K15,IF(J15="OUT","🔴",IF(J15="CRITICAL","🟠","🟡"))&amp;" "&amp;J15&amp;": "&amp;A15&amp;" "&amp;B15&amp;" — stock "&amp;H15&amp;" (reorder at "&amp;I15&amp;") · "&amp;F15))</f>
        <v>🟠 CRITICAL: SKU-014 Underwear (5-pack) — stock 5 (reorder at 60) · Textiles Norte</v>
      </c>
    </row>
    <row r="16" customFormat="false" ht="15" hidden="false" customHeight="false" outlineLevel="0" collapsed="false">
      <c r="A16" s="3" t="s">
        <v>57</v>
      </c>
      <c r="B16" s="3" t="s">
        <v>58</v>
      </c>
      <c r="C16" s="3" t="s">
        <v>54</v>
      </c>
      <c r="D16" s="3" t="n">
        <v>37</v>
      </c>
      <c r="E16" s="3" t="n">
        <v>25</v>
      </c>
      <c r="F16" s="3" t="s">
        <v>29</v>
      </c>
      <c r="G16" s="3"/>
      <c r="H16" s="4" t="n">
        <f aca="false">IFERROR(VALUE(TRIM(D16&amp;"")),"")</f>
        <v>37</v>
      </c>
      <c r="I16" s="4" t="n">
        <f aca="false">IFERROR(VALUE(TRIM(E16&amp;"")),"")</f>
        <v>25</v>
      </c>
      <c r="J16" s="5" t="str">
        <f aca="false">IF(OR(H16="",H16&lt;0),"DATA_ERROR",IF(OR(I16="",I16&lt;=0),"DATA_ERROR",IF(H16=0,"OUT",IF(H16&lt;=I16*0.5,"CRITICAL",IF(H16&lt;=I16,"LOW","OK")))))</f>
        <v>OK</v>
      </c>
      <c r="K16" s="4" t="str">
        <f aca="false">IF(J16&lt;&gt;"DATA_ERROR","",IF(OR(H16="",H16&lt;0),"invalid stock: '"&amp;D16&amp;"'","invalid reorder_point: '"&amp;E16&amp;"'"))</f>
        <v/>
      </c>
      <c r="L16" s="4" t="n">
        <f aca="false">IF(J16="OUT",3,IF(J16="CRITICAL",2,IF(J16="LOW",1,0)))</f>
        <v>0</v>
      </c>
      <c r="M16" s="4" t="str">
        <f aca="false">IF(TRIM(G16&amp;"")="","OK",UPPER(TRIM(G16)))</f>
        <v>OK</v>
      </c>
      <c r="N16" s="4" t="n">
        <f aca="false">IF(M16="OUT",3,IF(M16="CRITICAL",2,IF(M16="LOW",1,0)))</f>
        <v>0</v>
      </c>
      <c r="O16" s="4" t="n">
        <f aca="false">IF(OR(L16&gt;N16,AND(J16="DATA_ERROR",M16&lt;&gt;"DATA_ERROR")),1,0)</f>
        <v>0</v>
      </c>
      <c r="P16" s="4" t="n">
        <f aca="false">IF(J16&lt;&gt;M16,1,0)</f>
        <v>0</v>
      </c>
      <c r="Q16" s="4" t="n">
        <f aca="false">IF(J16="OUT",4,IF(J16="CRITICAL",3,IF(J16="LOW",2,IF(J16="DATA_ERROR",1,0))))</f>
        <v>0</v>
      </c>
      <c r="R16" s="4" t="str">
        <f aca="false">IF(J16="OK","",IF(J16="DATA_ERROR","⚠️ "&amp;A16&amp;" "&amp;B16&amp;" — "&amp;K16,IF(J16="OUT","🔴",IF(J16="CRITICAL","🟠","🟡"))&amp;" "&amp;J16&amp;": "&amp;A16&amp;" "&amp;B16&amp;" — stock "&amp;H16&amp;" (reorder at "&amp;I16&amp;") · "&amp;F16))</f>
        <v/>
      </c>
    </row>
    <row r="17" customFormat="false" ht="15" hidden="false" customHeight="false" outlineLevel="0" collapsed="false">
      <c r="A17" s="3" t="s">
        <v>59</v>
      </c>
      <c r="B17" s="3" t="s">
        <v>60</v>
      </c>
      <c r="C17" s="3" t="s">
        <v>61</v>
      </c>
      <c r="D17" s="3" t="n">
        <v>52</v>
      </c>
      <c r="E17" s="3" t="n">
        <v>20</v>
      </c>
      <c r="F17" s="3" t="s">
        <v>62</v>
      </c>
      <c r="G17" s="3"/>
      <c r="H17" s="4" t="n">
        <f aca="false">IFERROR(VALUE(TRIM(D17&amp;"")),"")</f>
        <v>52</v>
      </c>
      <c r="I17" s="4" t="n">
        <f aca="false">IFERROR(VALUE(TRIM(E17&amp;"")),"")</f>
        <v>20</v>
      </c>
      <c r="J17" s="5" t="str">
        <f aca="false">IF(OR(H17="",H17&lt;0),"DATA_ERROR",IF(OR(I17="",I17&lt;=0),"DATA_ERROR",IF(H17=0,"OUT",IF(H17&lt;=I17*0.5,"CRITICAL",IF(H17&lt;=I17,"LOW","OK")))))</f>
        <v>OK</v>
      </c>
      <c r="K17" s="4" t="str">
        <f aca="false">IF(J17&lt;&gt;"DATA_ERROR","",IF(OR(H17="",H17&lt;0),"invalid stock: '"&amp;D17&amp;"'","invalid reorder_point: '"&amp;E17&amp;"'"))</f>
        <v/>
      </c>
      <c r="L17" s="4" t="n">
        <f aca="false">IF(J17="OUT",3,IF(J17="CRITICAL",2,IF(J17="LOW",1,0)))</f>
        <v>0</v>
      </c>
      <c r="M17" s="4" t="str">
        <f aca="false">IF(TRIM(G17&amp;"")="","OK",UPPER(TRIM(G17)))</f>
        <v>OK</v>
      </c>
      <c r="N17" s="4" t="n">
        <f aca="false">IF(M17="OUT",3,IF(M17="CRITICAL",2,IF(M17="LOW",1,0)))</f>
        <v>0</v>
      </c>
      <c r="O17" s="4" t="n">
        <f aca="false">IF(OR(L17&gt;N17,AND(J17="DATA_ERROR",M17&lt;&gt;"DATA_ERROR")),1,0)</f>
        <v>0</v>
      </c>
      <c r="P17" s="4" t="n">
        <f aca="false">IF(J17&lt;&gt;M17,1,0)</f>
        <v>0</v>
      </c>
      <c r="Q17" s="4" t="n">
        <f aca="false">IF(J17="OUT",4,IF(J17="CRITICAL",3,IF(J17="LOW",2,IF(J17="DATA_ERROR",1,0))))</f>
        <v>0</v>
      </c>
      <c r="R17" s="4" t="str">
        <f aca="false">IF(J17="OK","",IF(J17="DATA_ERROR","⚠️ "&amp;A17&amp;" "&amp;B17&amp;" — "&amp;K17,IF(J17="OUT","🔴",IF(J17="CRITICAL","🟠","🟡"))&amp;" "&amp;J17&amp;": "&amp;A17&amp;" "&amp;B17&amp;" — stock "&amp;H17&amp;" (reorder at "&amp;I17&amp;") · "&amp;F17))</f>
        <v/>
      </c>
    </row>
    <row r="18" customFormat="false" ht="15" hidden="false" customHeight="false" outlineLevel="0" collapsed="false">
      <c r="A18" s="3" t="s">
        <v>63</v>
      </c>
      <c r="B18" s="3" t="s">
        <v>64</v>
      </c>
      <c r="C18" s="3" t="s">
        <v>61</v>
      </c>
      <c r="D18" s="3"/>
      <c r="E18" s="3" t="n">
        <v>30</v>
      </c>
      <c r="F18" s="3" t="s">
        <v>62</v>
      </c>
      <c r="G18" s="3"/>
      <c r="H18" s="4" t="str">
        <f aca="false">IFERROR(VALUE(TRIM(D18&amp;"")),"")</f>
        <v/>
      </c>
      <c r="I18" s="4" t="n">
        <f aca="false">IFERROR(VALUE(TRIM(E18&amp;"")),"")</f>
        <v>30</v>
      </c>
      <c r="J18" s="5" t="str">
        <f aca="false">IF(OR(H18="",H18&lt;0),"DATA_ERROR",IF(OR(I18="",I18&lt;=0),"DATA_ERROR",IF(H18=0,"OUT",IF(H18&lt;=I18*0.5,"CRITICAL",IF(H18&lt;=I18,"LOW","OK")))))</f>
        <v>DATA_ERROR</v>
      </c>
      <c r="K18" s="4" t="str">
        <f aca="false">IF(J18&lt;&gt;"DATA_ERROR","",IF(OR(H18="",H18&lt;0),"invalid stock: '"&amp;D18&amp;"'","invalid reorder_point: '"&amp;E18&amp;"'"))</f>
        <v>invalid stock: ''</v>
      </c>
      <c r="L18" s="4" t="n">
        <f aca="false">IF(J18="OUT",3,IF(J18="CRITICAL",2,IF(J18="LOW",1,0)))</f>
        <v>0</v>
      </c>
      <c r="M18" s="4" t="str">
        <f aca="false">IF(TRIM(G18&amp;"")="","OK",UPPER(TRIM(G18)))</f>
        <v>OK</v>
      </c>
      <c r="N18" s="4" t="n">
        <f aca="false">IF(M18="OUT",3,IF(M18="CRITICAL",2,IF(M18="LOW",1,0)))</f>
        <v>0</v>
      </c>
      <c r="O18" s="4" t="n">
        <f aca="false">IF(OR(L18&gt;N18,AND(J18="DATA_ERROR",M18&lt;&gt;"DATA_ERROR")),1,0)</f>
        <v>1</v>
      </c>
      <c r="P18" s="4" t="n">
        <f aca="false">IF(J18&lt;&gt;M18,1,0)</f>
        <v>1</v>
      </c>
      <c r="Q18" s="4" t="n">
        <f aca="false">IF(J18="OUT",4,IF(J18="CRITICAL",3,IF(J18="LOW",2,IF(J18="DATA_ERROR",1,0))))</f>
        <v>1</v>
      </c>
      <c r="R18" s="4" t="str">
        <f aca="false">IF(J18="OK","",IF(J18="DATA_ERROR","⚠️ "&amp;A18&amp;" "&amp;B18&amp;" — "&amp;K18,IF(J18="OUT","🔴",IF(J18="CRITICAL","🟠","🟡"))&amp;" "&amp;J18&amp;": "&amp;A18&amp;" "&amp;B18&amp;" — stock "&amp;H18&amp;" (reorder at "&amp;I18&amp;") · "&amp;F18))</f>
        <v>⚠️ SKU-017 Water Bottle — invalid stock: ''</v>
      </c>
    </row>
    <row r="19" customFormat="false" ht="15" hidden="false" customHeight="false" outlineLevel="0" collapsed="false">
      <c r="A19" s="3" t="s">
        <v>65</v>
      </c>
      <c r="B19" s="3" t="s">
        <v>66</v>
      </c>
      <c r="C19" s="3" t="s">
        <v>61</v>
      </c>
      <c r="D19" s="3" t="n">
        <v>16</v>
      </c>
      <c r="E19" s="3" t="n">
        <v>15</v>
      </c>
      <c r="F19" s="3" t="s">
        <v>62</v>
      </c>
      <c r="G19" s="3"/>
      <c r="H19" s="4" t="n">
        <f aca="false">IFERROR(VALUE(TRIM(D19&amp;"")),"")</f>
        <v>16</v>
      </c>
      <c r="I19" s="4" t="n">
        <f aca="false">IFERROR(VALUE(TRIM(E19&amp;"")),"")</f>
        <v>15</v>
      </c>
      <c r="J19" s="5" t="str">
        <f aca="false">IF(OR(H19="",H19&lt;0),"DATA_ERROR",IF(OR(I19="",I19&lt;=0),"DATA_ERROR",IF(H19=0,"OUT",IF(H19&lt;=I19*0.5,"CRITICAL",IF(H19&lt;=I19,"LOW","OK")))))</f>
        <v>OK</v>
      </c>
      <c r="K19" s="4" t="str">
        <f aca="false">IF(J19&lt;&gt;"DATA_ERROR","",IF(OR(H19="",H19&lt;0),"invalid stock: '"&amp;D19&amp;"'","invalid reorder_point: '"&amp;E19&amp;"'"))</f>
        <v/>
      </c>
      <c r="L19" s="4" t="n">
        <f aca="false">IF(J19="OUT",3,IF(J19="CRITICAL",2,IF(J19="LOW",1,0)))</f>
        <v>0</v>
      </c>
      <c r="M19" s="4" t="str">
        <f aca="false">IF(TRIM(G19&amp;"")="","OK",UPPER(TRIM(G19)))</f>
        <v>OK</v>
      </c>
      <c r="N19" s="4" t="n">
        <f aca="false">IF(M19="OUT",3,IF(M19="CRITICAL",2,IF(M19="LOW",1,0)))</f>
        <v>0</v>
      </c>
      <c r="O19" s="4" t="n">
        <f aca="false">IF(OR(L19&gt;N19,AND(J19="DATA_ERROR",M19&lt;&gt;"DATA_ERROR")),1,0)</f>
        <v>0</v>
      </c>
      <c r="P19" s="4" t="n">
        <f aca="false">IF(J19&lt;&gt;M19,1,0)</f>
        <v>0</v>
      </c>
      <c r="Q19" s="4" t="n">
        <f aca="false">IF(J19="OUT",4,IF(J19="CRITICAL",3,IF(J19="LOW",2,IF(J19="DATA_ERROR",1,0))))</f>
        <v>0</v>
      </c>
      <c r="R19" s="4" t="str">
        <f aca="false">IF(J19="OK","",IF(J19="DATA_ERROR","⚠️ "&amp;A19&amp;" "&amp;B19&amp;" — "&amp;K19,IF(J19="OUT","🔴",IF(J19="CRITICAL","🟠","🟡"))&amp;" "&amp;J19&amp;": "&amp;A19&amp;" "&amp;B19&amp;" — stock "&amp;H19&amp;" (reorder at "&amp;I19&amp;") · "&amp;F19))</f>
        <v/>
      </c>
    </row>
    <row r="20" customFormat="false" ht="15" hidden="false" customHeight="false" outlineLevel="0" collapsed="false">
      <c r="A20" s="3" t="s">
        <v>67</v>
      </c>
      <c r="B20" s="3" t="s">
        <v>68</v>
      </c>
      <c r="C20" s="3" t="s">
        <v>61</v>
      </c>
      <c r="D20" s="3" t="s">
        <v>69</v>
      </c>
      <c r="E20" s="3" t="n">
        <v>20</v>
      </c>
      <c r="F20" s="3" t="s">
        <v>62</v>
      </c>
      <c r="G20" s="3"/>
      <c r="H20" s="4" t="str">
        <f aca="false">IFERROR(VALUE(TRIM(D20&amp;"")),"")</f>
        <v/>
      </c>
      <c r="I20" s="4" t="n">
        <f aca="false">IFERROR(VALUE(TRIM(E20&amp;"")),"")</f>
        <v>20</v>
      </c>
      <c r="J20" s="5" t="str">
        <f aca="false">IF(OR(H20="",H20&lt;0),"DATA_ERROR",IF(OR(I20="",I20&lt;=0),"DATA_ERROR",IF(H20=0,"OUT",IF(H20&lt;=I20*0.5,"CRITICAL",IF(H20&lt;=I20,"LOW","OK")))))</f>
        <v>DATA_ERROR</v>
      </c>
      <c r="K20" s="4" t="str">
        <f aca="false">IF(J20&lt;&gt;"DATA_ERROR","",IF(OR(H20="",H20&lt;0),"invalid stock: '"&amp;D20&amp;"'","invalid reorder_point: '"&amp;E20&amp;"'"))</f>
        <v>invalid stock: 'n/a'</v>
      </c>
      <c r="L20" s="4" t="n">
        <f aca="false">IF(J20="OUT",3,IF(J20="CRITICAL",2,IF(J20="LOW",1,0)))</f>
        <v>0</v>
      </c>
      <c r="M20" s="4" t="str">
        <f aca="false">IF(TRIM(G20&amp;"")="","OK",UPPER(TRIM(G20)))</f>
        <v>OK</v>
      </c>
      <c r="N20" s="4" t="n">
        <f aca="false">IF(M20="OUT",3,IF(M20="CRITICAL",2,IF(M20="LOW",1,0)))</f>
        <v>0</v>
      </c>
      <c r="O20" s="4" t="n">
        <f aca="false">IF(OR(L20&gt;N20,AND(J20="DATA_ERROR",M20&lt;&gt;"DATA_ERROR")),1,0)</f>
        <v>1</v>
      </c>
      <c r="P20" s="4" t="n">
        <f aca="false">IF(J20&lt;&gt;M20,1,0)</f>
        <v>1</v>
      </c>
      <c r="Q20" s="4" t="n">
        <f aca="false">IF(J20="OUT",4,IF(J20="CRITICAL",3,IF(J20="LOW",2,IF(J20="DATA_ERROR",1,0))))</f>
        <v>1</v>
      </c>
      <c r="R20" s="4" t="str">
        <f aca="false">IF(J20="OK","",IF(J20="DATA_ERROR","⚠️ "&amp;A20&amp;" "&amp;B20&amp;" — "&amp;K20,IF(J20="OUT","🔴",IF(J20="CRITICAL","🟠","🟡"))&amp;" "&amp;J20&amp;": "&amp;A20&amp;" "&amp;B20&amp;" — stock "&amp;H20&amp;" (reorder at "&amp;I20&amp;") · "&amp;F20))</f>
        <v>⚠️ SKU-019 Resistance Bands — invalid stock: 'n/a'</v>
      </c>
    </row>
    <row r="21" customFormat="false" ht="15" hidden="false" customHeight="false" outlineLevel="0" collapsed="false">
      <c r="A21" s="3" t="s">
        <v>70</v>
      </c>
      <c r="B21" s="3" t="s">
        <v>71</v>
      </c>
      <c r="C21" s="3" t="s">
        <v>72</v>
      </c>
      <c r="D21" s="3" t="n">
        <v>44</v>
      </c>
      <c r="E21" s="3" t="n">
        <v>20</v>
      </c>
      <c r="F21" s="3" t="s">
        <v>73</v>
      </c>
      <c r="G21" s="3"/>
      <c r="H21" s="4" t="n">
        <f aca="false">IFERROR(VALUE(TRIM(D21&amp;"")),"")</f>
        <v>44</v>
      </c>
      <c r="I21" s="4" t="n">
        <f aca="false">IFERROR(VALUE(TRIM(E21&amp;"")),"")</f>
        <v>20</v>
      </c>
      <c r="J21" s="5" t="str">
        <f aca="false">IF(OR(H21="",H21&lt;0),"DATA_ERROR",IF(OR(I21="",I21&lt;=0),"DATA_ERROR",IF(H21=0,"OUT",IF(H21&lt;=I21*0.5,"CRITICAL",IF(H21&lt;=I21,"LOW","OK")))))</f>
        <v>OK</v>
      </c>
      <c r="K21" s="4" t="str">
        <f aca="false">IF(J21&lt;&gt;"DATA_ERROR","",IF(OR(H21="",H21&lt;0),"invalid stock: '"&amp;D21&amp;"'","invalid reorder_point: '"&amp;E21&amp;"'"))</f>
        <v/>
      </c>
      <c r="L21" s="4" t="n">
        <f aca="false">IF(J21="OUT",3,IF(J21="CRITICAL",2,IF(J21="LOW",1,0)))</f>
        <v>0</v>
      </c>
      <c r="M21" s="4" t="str">
        <f aca="false">IF(TRIM(G21&amp;"")="","OK",UPPER(TRIM(G21)))</f>
        <v>OK</v>
      </c>
      <c r="N21" s="4" t="n">
        <f aca="false">IF(M21="OUT",3,IF(M21="CRITICAL",2,IF(M21="LOW",1,0)))</f>
        <v>0</v>
      </c>
      <c r="O21" s="4" t="n">
        <f aca="false">IF(OR(L21&gt;N21,AND(J21="DATA_ERROR",M21&lt;&gt;"DATA_ERROR")),1,0)</f>
        <v>0</v>
      </c>
      <c r="P21" s="4" t="n">
        <f aca="false">IF(J21&lt;&gt;M21,1,0)</f>
        <v>0</v>
      </c>
      <c r="Q21" s="4" t="n">
        <f aca="false">IF(J21="OUT",4,IF(J21="CRITICAL",3,IF(J21="LOW",2,IF(J21="DATA_ERROR",1,0))))</f>
        <v>0</v>
      </c>
      <c r="R21" s="4" t="str">
        <f aca="false">IF(J21="OK","",IF(J21="DATA_ERROR","⚠️ "&amp;A21&amp;" "&amp;B21&amp;" — "&amp;K21,IF(J21="OUT","🔴",IF(J21="CRITICAL","🟠","🟡"))&amp;" "&amp;J21&amp;": "&amp;A21&amp;" "&amp;B21&amp;" — stock "&amp;H21&amp;" (reorder at "&amp;I21&amp;") · "&amp;F21))</f>
        <v/>
      </c>
    </row>
    <row r="22" customFormat="false" ht="15" hidden="false" customHeight="false" outlineLevel="0" collapsed="false">
      <c r="A22" s="3" t="s">
        <v>74</v>
      </c>
      <c r="B22" s="3" t="s">
        <v>75</v>
      </c>
      <c r="C22" s="3" t="s">
        <v>72</v>
      </c>
      <c r="D22" s="3" t="n">
        <v>27</v>
      </c>
      <c r="E22" s="3" t="n">
        <v>25</v>
      </c>
      <c r="F22" s="3" t="s">
        <v>73</v>
      </c>
      <c r="G22" s="3" t="s">
        <v>76</v>
      </c>
      <c r="H22" s="4" t="n">
        <f aca="false">IFERROR(VALUE(TRIM(D22&amp;"")),"")</f>
        <v>27</v>
      </c>
      <c r="I22" s="4" t="n">
        <f aca="false">IFERROR(VALUE(TRIM(E22&amp;"")),"")</f>
        <v>25</v>
      </c>
      <c r="J22" s="5" t="str">
        <f aca="false">IF(OR(H22="",H22&lt;0),"DATA_ERROR",IF(OR(I22="",I22&lt;=0),"DATA_ERROR",IF(H22=0,"OUT",IF(H22&lt;=I22*0.5,"CRITICAL",IF(H22&lt;=I22,"LOW","OK")))))</f>
        <v>OK</v>
      </c>
      <c r="K22" s="4" t="str">
        <f aca="false">IF(J22&lt;&gt;"DATA_ERROR","",IF(OR(H22="",H22&lt;0),"invalid stock: '"&amp;D22&amp;"'","invalid reorder_point: '"&amp;E22&amp;"'"))</f>
        <v/>
      </c>
      <c r="L22" s="4" t="n">
        <f aca="false">IF(J22="OUT",3,IF(J22="CRITICAL",2,IF(J22="LOW",1,0)))</f>
        <v>0</v>
      </c>
      <c r="M22" s="4" t="str">
        <f aca="false">IF(TRIM(G22&amp;"")="","OK",UPPER(TRIM(G22)))</f>
        <v>OK</v>
      </c>
      <c r="N22" s="4" t="n">
        <f aca="false">IF(M22="OUT",3,IF(M22="CRITICAL",2,IF(M22="LOW",1,0)))</f>
        <v>0</v>
      </c>
      <c r="O22" s="4" t="n">
        <f aca="false">IF(OR(L22&gt;N22,AND(J22="DATA_ERROR",M22&lt;&gt;"DATA_ERROR")),1,0)</f>
        <v>0</v>
      </c>
      <c r="P22" s="4" t="n">
        <f aca="false">IF(J22&lt;&gt;M22,1,0)</f>
        <v>0</v>
      </c>
      <c r="Q22" s="4" t="n">
        <f aca="false">IF(J22="OUT",4,IF(J22="CRITICAL",3,IF(J22="LOW",2,IF(J22="DATA_ERROR",1,0))))</f>
        <v>0</v>
      </c>
      <c r="R22" s="4" t="str">
        <f aca="false">IF(J22="OK","",IF(J22="DATA_ERROR","⚠️ "&amp;A22&amp;" "&amp;B22&amp;" — "&amp;K22,IF(J22="OUT","🔴",IF(J22="CRITICAL","🟠","🟡"))&amp;" "&amp;J22&amp;": "&amp;A22&amp;" "&amp;B22&amp;" — stock "&amp;H22&amp;" (reorder at "&amp;I22&amp;") · "&amp;F22))</f>
        <v/>
      </c>
    </row>
    <row r="23" customFormat="false" ht="15" hidden="false" customHeight="false" outlineLevel="0" collapsed="false">
      <c r="A23" s="3" t="s">
        <v>77</v>
      </c>
      <c r="B23" s="3" t="s">
        <v>78</v>
      </c>
      <c r="C23" s="3" t="s">
        <v>72</v>
      </c>
      <c r="D23" s="3" t="n">
        <v>3</v>
      </c>
      <c r="E23" s="3" t="n">
        <v>18</v>
      </c>
      <c r="F23" s="3" t="s">
        <v>73</v>
      </c>
      <c r="G23" s="3"/>
      <c r="H23" s="4" t="n">
        <f aca="false">IFERROR(VALUE(TRIM(D23&amp;"")),"")</f>
        <v>3</v>
      </c>
      <c r="I23" s="4" t="n">
        <f aca="false">IFERROR(VALUE(TRIM(E23&amp;"")),"")</f>
        <v>18</v>
      </c>
      <c r="J23" s="5" t="str">
        <f aca="false">IF(OR(H23="",H23&lt;0),"DATA_ERROR",IF(OR(I23="",I23&lt;=0),"DATA_ERROR",IF(H23=0,"OUT",IF(H23&lt;=I23*0.5,"CRITICAL",IF(H23&lt;=I23,"LOW","OK")))))</f>
        <v>CRITICAL</v>
      </c>
      <c r="K23" s="4" t="str">
        <f aca="false">IF(J23&lt;&gt;"DATA_ERROR","",IF(OR(H23="",H23&lt;0),"invalid stock: '"&amp;D23&amp;"'","invalid reorder_point: '"&amp;E23&amp;"'"))</f>
        <v/>
      </c>
      <c r="L23" s="4" t="n">
        <f aca="false">IF(J23="OUT",3,IF(J23="CRITICAL",2,IF(J23="LOW",1,0)))</f>
        <v>2</v>
      </c>
      <c r="M23" s="4" t="str">
        <f aca="false">IF(TRIM(G23&amp;"")="","OK",UPPER(TRIM(G23)))</f>
        <v>OK</v>
      </c>
      <c r="N23" s="4" t="n">
        <f aca="false">IF(M23="OUT",3,IF(M23="CRITICAL",2,IF(M23="LOW",1,0)))</f>
        <v>0</v>
      </c>
      <c r="O23" s="4" t="n">
        <f aca="false">IF(OR(L23&gt;N23,AND(J23="DATA_ERROR",M23&lt;&gt;"DATA_ERROR")),1,0)</f>
        <v>1</v>
      </c>
      <c r="P23" s="4" t="n">
        <f aca="false">IF(J23&lt;&gt;M23,1,0)</f>
        <v>1</v>
      </c>
      <c r="Q23" s="4" t="n">
        <f aca="false">IF(J23="OUT",4,IF(J23="CRITICAL",3,IF(J23="LOW",2,IF(J23="DATA_ERROR",1,0))))</f>
        <v>3</v>
      </c>
      <c r="R23" s="4" t="str">
        <f aca="false">IF(J23="OK","",IF(J23="DATA_ERROR","⚠️ "&amp;A23&amp;" "&amp;B23&amp;" — "&amp;K23,IF(J23="OUT","🔴",IF(J23="CRITICAL","🟠","🟡"))&amp;" "&amp;J23&amp;": "&amp;A23&amp;" "&amp;B23&amp;" — stock "&amp;H23&amp;" (reorder at "&amp;I23&amp;") · "&amp;F23))</f>
        <v>🟠 CRITICAL: SKU-022 Scented Candle — stock 3 (reorder at 18) · Hogar Plus</v>
      </c>
    </row>
  </sheetData>
  <conditionalFormatting sqref="J2:J23">
    <cfRule type="cellIs" priority="2" operator="equal" aboveAverage="0" equalAverage="0" bottom="0" percent="0" rank="0" text="" dxfId="0">
      <formula>"OUT"</formula>
    </cfRule>
    <cfRule type="cellIs" priority="3" operator="equal" aboveAverage="0" equalAverage="0" bottom="0" percent="0" rank="0" text="" dxfId="1">
      <formula>"CRITICAL"</formula>
    </cfRule>
    <cfRule type="cellIs" priority="4" operator="equal" aboveAverage="0" equalAverage="0" bottom="0" percent="0" rank="0" text="" dxfId="2">
      <formula>"LOW"</formula>
    </cfRule>
    <cfRule type="cellIs" priority="5" operator="equal" aboveAverage="0" equalAverage="0" bottom="0" percent="0" rank="0" text="" dxfId="3">
      <formula>"DATA_ERROR"</formula>
    </cfRule>
    <cfRule type="cellIs" priority="6" operator="equal" aboveAverage="0" equalAverage="0" bottom="0" percent="0" rank="0" text="" dxfId="4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6" t="s">
        <v>79</v>
      </c>
    </row>
    <row r="2" customFormat="false" ht="15" hidden="false" customHeight="false" outlineLevel="0" collapsed="false">
      <c r="A2" s="3"/>
    </row>
    <row r="3" customFormat="false" ht="15" hidden="false" customHeight="false" outlineLevel="0" collapsed="false">
      <c r="A3" s="3" t="s">
        <v>80</v>
      </c>
    </row>
    <row r="4" customFormat="false" ht="15" hidden="false" customHeight="false" outlineLevel="0" collapsed="false">
      <c r="A4" s="3" t="s">
        <v>81</v>
      </c>
    </row>
    <row r="5" customFormat="false" ht="15" hidden="false" customHeight="false" outlineLevel="0" collapsed="false">
      <c r="A5" s="3" t="s">
        <v>82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3" t="s">
        <v>83</v>
      </c>
    </row>
    <row r="8" customFormat="false" ht="15" hidden="false" customHeight="false" outlineLevel="0" collapsed="false">
      <c r="A8" s="3" t="s">
        <v>84</v>
      </c>
    </row>
    <row r="9" customFormat="false" ht="15" hidden="false" customHeight="false" outlineLevel="0" collapsed="false">
      <c r="A9" s="3" t="s">
        <v>85</v>
      </c>
    </row>
    <row r="10" customFormat="false" ht="15" hidden="false" customHeight="false" outlineLevel="0" collapsed="false">
      <c r="A10" s="3" t="s">
        <v>86</v>
      </c>
    </row>
    <row r="11" customFormat="false" ht="15" hidden="false" customHeight="false" outlineLevel="0" collapsed="false">
      <c r="A11" s="3" t="s">
        <v>87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3" t="s">
        <v>88</v>
      </c>
    </row>
    <row r="14" customFormat="false" ht="15" hidden="false" customHeight="false" outlineLevel="0" collapsed="false">
      <c r="A14" s="3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2026-10-27T18:24:57Z</dcterms:created>
  <dc:creator>openpyxl</dc:creator>
  <dc:description/>
  <dc:language>en-US</dc:language>
  <cp:lastModifiedBy/>
  <dcterms:modified xsi:type="dcterms:W3CDTF">2026-10-27T18:24:57Z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